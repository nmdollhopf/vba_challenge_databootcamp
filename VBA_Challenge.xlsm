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udent\Documents\bootcamp_dataanalysis\VBA_Challenge_Mod1\"/>
    </mc:Choice>
  </mc:AlternateContent>
  <xr:revisionPtr revIDLastSave="0" documentId="13_ncr:1_{4D2ECBD7-DF13-406F-8CC0-8AABF551B057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chart.v1.0" hidden="1">'All Stocks Analysis'!$B$20:$B$39</definedName>
    <definedName name="_xlchart.v1.1" hidden="1">'All Stocks Analysis'!$G$20:$G$39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3" i="4" l="1"/>
  <c r="D33" i="4"/>
  <c r="D30" i="4"/>
  <c r="I30" i="4"/>
  <c r="D29" i="4"/>
  <c r="D28" i="4"/>
  <c r="I29" i="4"/>
  <c r="I28" i="4"/>
</calcChain>
</file>

<file path=xl/sharedStrings.xml><?xml version="1.0" encoding="utf-8"?>
<sst xmlns="http://schemas.openxmlformats.org/spreadsheetml/2006/main" count="12096" uniqueCount="535">
  <si>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</si>
  <si>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</si>
  <si>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</si>
  <si>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</si>
  <si>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</si>
  <si>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</si>
  <si>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</si>
  <si>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</si>
  <si>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</si>
  <si>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</si>
  <si>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</si>
  <si>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</si>
  <si>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</si>
  <si>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</si>
  <si>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</si>
  <si>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</si>
  <si>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</si>
  <si>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</si>
  <si>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</si>
  <si>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</si>
  <si>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</si>
  <si>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</si>
  <si>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</si>
  <si>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</si>
  <si>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</si>
  <si>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</si>
  <si>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</si>
  <si>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</si>
  <si>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</si>
  <si>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</si>
  <si>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</si>
  <si>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</si>
  <si>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</si>
  <si>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</si>
  <si>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</si>
  <si>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</si>
  <si>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</si>
  <si>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</si>
  <si>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</si>
  <si>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</si>
  <si>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</si>
  <si>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</si>
  <si>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</si>
  <si>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</si>
  <si>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</si>
  <si>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</si>
  <si>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</si>
  <si>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</si>
  <si>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</si>
  <si>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</si>
  <si>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</si>
  <si>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</si>
  <si>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</si>
  <si>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</si>
  <si>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</si>
  <si>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</si>
  <si>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</si>
  <si>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</si>
  <si>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</si>
  <si>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</si>
  <si>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</si>
  <si>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</si>
  <si>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</si>
  <si>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</si>
  <si>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</si>
  <si>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</si>
  <si>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</si>
  <si>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</si>
  <si>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</si>
  <si>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</si>
  <si>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</si>
  <si>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</si>
  <si>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</si>
  <si>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</si>
  <si>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</si>
  <si>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</si>
  <si>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</si>
  <si>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</si>
  <si>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</si>
  <si>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</si>
  <si>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</si>
  <si>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</si>
  <si>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</si>
  <si>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</si>
  <si>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</si>
  <si>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</si>
  <si>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</si>
  <si>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</si>
  <si>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</si>
  <si>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</si>
  <si>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</si>
  <si>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</si>
  <si>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</si>
  <si>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</si>
  <si>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</si>
  <si>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</si>
  <si>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</si>
  <si>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</si>
  <si>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</si>
  <si>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</si>
  <si>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</si>
  <si>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</si>
  <si>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</si>
  <si>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</si>
  <si>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</si>
  <si>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</si>
  <si>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</si>
  <si>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</si>
  <si>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</si>
  <si>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</si>
  <si>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</si>
  <si>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</si>
  <si>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</si>
  <si>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</si>
  <si>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</si>
  <si>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</si>
  <si>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</si>
  <si>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</si>
  <si>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</si>
  <si>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</si>
  <si>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</si>
  <si>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</si>
  <si>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</si>
  <si>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</si>
  <si>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</si>
  <si>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</si>
  <si>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</si>
  <si>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</si>
  <si>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</si>
  <si>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</si>
  <si>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</si>
  <si>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</si>
  <si>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</si>
  <si>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</si>
  <si>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</si>
  <si>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</si>
  <si>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</si>
  <si>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</si>
  <si>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</si>
  <si>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</si>
  <si>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</si>
  <si>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</si>
  <si>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</si>
  <si>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</si>
  <si>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</si>
  <si>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</si>
  <si>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</si>
  <si>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</si>
  <si>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</si>
  <si>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</si>
  <si>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</si>
  <si>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</si>
  <si>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</si>
  <si>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</si>
  <si>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</si>
  <si>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</si>
  <si>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</si>
  <si>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</si>
  <si>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</si>
  <si>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</si>
  <si>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</si>
  <si>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</si>
  <si>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</si>
  <si>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</si>
  <si>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</si>
  <si>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</si>
  <si>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</si>
  <si>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</si>
  <si>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</si>
  <si>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</si>
  <si>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</si>
  <si>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</si>
  <si>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</si>
  <si>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</si>
  <si>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</si>
  <si>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</si>
  <si>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</si>
  <si>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</si>
  <si>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</si>
  <si>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</si>
  <si>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</si>
  <si>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</si>
  <si>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</si>
  <si>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</si>
  <si>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</si>
  <si>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</si>
  <si>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</si>
  <si>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</si>
  <si>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</si>
  <si>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</si>
  <si>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</si>
  <si>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</si>
  <si>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</si>
  <si>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</si>
  <si>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</si>
  <si>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</si>
  <si>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</si>
  <si>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</si>
  <si>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</si>
  <si>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</si>
  <si>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</si>
  <si>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</si>
  <si>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</si>
  <si>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</si>
  <si>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</si>
  <si>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</si>
  <si>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</si>
  <si>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</si>
  <si>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</si>
  <si>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</si>
  <si>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</si>
  <si>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</si>
  <si>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</si>
  <si>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</si>
  <si>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</si>
  <si>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</si>
  <si>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</si>
  <si>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</si>
  <si>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</si>
  <si>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</si>
  <si>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</si>
  <si>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</si>
  <si>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</si>
  <si>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</si>
  <si>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</si>
  <si>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</si>
  <si>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</si>
  <si>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</si>
  <si>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</si>
  <si>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</si>
  <si>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</si>
  <si>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</si>
  <si>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</si>
  <si>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</si>
  <si>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</si>
  <si>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</si>
  <si>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</si>
  <si>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</si>
  <si>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</si>
  <si>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</si>
  <si>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</si>
  <si>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</si>
  <si>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</si>
  <si>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</si>
  <si>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</si>
  <si>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</si>
  <si>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</si>
  <si>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</si>
  <si>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</si>
  <si>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</si>
  <si>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</si>
  <si>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</si>
  <si>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</si>
  <si>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</si>
  <si>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</si>
  <si>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</si>
  <si>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</si>
  <si>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</si>
  <si>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</si>
  <si>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</si>
  <si>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</si>
  <si>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</si>
  <si>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</si>
  <si>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</si>
  <si>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</si>
  <si>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</si>
  <si>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</si>
  <si>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</si>
  <si>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</si>
  <si>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</si>
  <si>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</si>
  <si>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</si>
  <si>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</si>
  <si>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</si>
  <si>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</si>
  <si>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</si>
  <si>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</si>
  <si>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</si>
  <si>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</si>
  <si>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</si>
  <si>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</si>
  <si>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</si>
  <si>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</si>
  <si>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</si>
  <si>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</si>
  <si>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</si>
  <si>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</si>
  <si>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</si>
  <si>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</si>
  <si>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</si>
  <si>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</si>
  <si>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</si>
  <si>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</si>
  <si>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</si>
  <si>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</si>
  <si>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</si>
  <si>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</si>
  <si>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</si>
  <si>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</si>
  <si>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</si>
  <si>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</si>
  <si>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</si>
  <si>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</si>
  <si>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</si>
  <si>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</si>
  <si>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</si>
  <si>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</si>
  <si>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</si>
  <si>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</si>
  <si>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</si>
  <si>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</si>
  <si>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</si>
  <si>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</si>
  <si>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</si>
  <si>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</si>
  <si>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</si>
  <si>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</si>
  <si>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</si>
  <si>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</si>
  <si>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</si>
  <si>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</si>
  <si>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</si>
  <si>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</si>
  <si>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</si>
  <si>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</si>
  <si>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</si>
  <si>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</si>
  <si>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</si>
  <si>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</si>
  <si>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</si>
  <si>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</si>
  <si>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</si>
  <si>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</si>
  <si>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</si>
  <si>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</si>
  <si>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</si>
  <si>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</si>
  <si>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</si>
  <si>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</si>
  <si>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</si>
  <si>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</si>
  <si>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</si>
  <si>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</si>
  <si>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</si>
  <si>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</si>
  <si>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</si>
  <si>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</si>
  <si>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</si>
  <si>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</si>
  <si>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</si>
  <si>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</si>
  <si>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</si>
  <si>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</si>
  <si>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</si>
  <si>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</si>
  <si>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</si>
  <si>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</si>
  <si>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</si>
  <si>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</si>
  <si>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</si>
  <si>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</si>
  <si>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</si>
  <si>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</si>
  <si>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</si>
  <si>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</si>
  <si>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</si>
  <si>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</si>
  <si>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</si>
  <si>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</si>
  <si>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</si>
  <si>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</si>
  <si>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</si>
  <si>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</si>
  <si>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</si>
  <si>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</si>
  <si>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</si>
  <si>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</si>
  <si>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</si>
  <si>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</si>
  <si>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</si>
  <si>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</si>
  <si>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</si>
  <si>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</si>
  <si>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</si>
  <si>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</si>
  <si>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</si>
  <si>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</si>
  <si>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</si>
  <si>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</si>
  <si>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</si>
  <si>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</si>
  <si>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</si>
  <si>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</si>
  <si>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</si>
  <si>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</si>
  <si>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</si>
  <si>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</si>
  <si>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</si>
  <si>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</si>
  <si>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</si>
  <si>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</si>
  <si>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</si>
  <si>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</si>
  <si>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</si>
  <si>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</si>
  <si>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</si>
  <si>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</si>
  <si>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</si>
  <si>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</si>
  <si>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</si>
  <si>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</si>
  <si>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</si>
  <si>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</si>
  <si>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</si>
  <si>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</si>
  <si>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</si>
  <si>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</si>
  <si>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</si>
  <si>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</si>
  <si>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</si>
  <si>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</si>
  <si>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</si>
  <si>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</si>
  <si>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</si>
  <si>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</si>
  <si>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</si>
  <si>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</si>
  <si>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</si>
  <si>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</si>
  <si>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</si>
  <si>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</si>
  <si>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</si>
  <si>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</si>
  <si>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</si>
  <si>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</si>
  <si>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</si>
  <si>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</si>
  <si>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</si>
  <si>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</si>
  <si>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</si>
  <si>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</si>
  <si>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</si>
  <si>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</si>
  <si>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</si>
  <si>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</si>
  <si>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</si>
  <si>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</si>
  <si>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</si>
  <si>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</si>
  <si>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</si>
  <si>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</si>
  <si>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</si>
  <si>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</si>
  <si>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</si>
  <si>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</si>
  <si>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</si>
  <si>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</si>
  <si>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</si>
  <si>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</si>
  <si>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</si>
  <si>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</si>
  <si>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</si>
  <si>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</si>
  <si>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</si>
  <si>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</si>
  <si>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</si>
  <si>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</si>
  <si>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</si>
  <si>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</si>
  <si>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</si>
  <si>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</si>
  <si>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</si>
  <si>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</si>
  <si>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</si>
  <si>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</si>
  <si>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</si>
  <si>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</si>
  <si>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</si>
  <si>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</si>
  <si>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</si>
  <si>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</si>
  <si>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</si>
  <si>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</si>
  <si>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</si>
  <si>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</si>
  <si>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</si>
  <si>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</si>
  <si>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</si>
  <si>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</si>
  <si>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</si>
  <si>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</si>
  <si>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</si>
  <si>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</si>
  <si>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</si>
  <si>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</si>
  <si>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</si>
  <si>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</si>
  <si>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</si>
  <si>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</si>
  <si>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</si>
  <si>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</si>
  <si>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</si>
  <si>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</si>
  <si>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</si>
  <si>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</si>
  <si>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</si>
  <si>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</si>
  <si>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</si>
  <si>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</si>
  <si>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</si>
  <si>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</si>
  <si>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</si>
  <si>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</si>
  <si>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</si>
  <si>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</si>
  <si>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</si>
  <si>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</si>
  <si>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</si>
  <si>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</si>
  <si>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</si>
  <si>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</si>
  <si>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</si>
  <si>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DQAO (Ticker: DQ)</t>
  </si>
  <si>
    <t>Year</t>
  </si>
  <si>
    <t>Total Daily Volume</t>
  </si>
  <si>
    <t>Return</t>
  </si>
  <si>
    <t>avg</t>
  </si>
  <si>
    <t>med</t>
  </si>
  <si>
    <t>refactored</t>
  </si>
  <si>
    <t>original</t>
  </si>
  <si>
    <t>ran on 2018</t>
  </si>
  <si>
    <t>Total Yearly Volume</t>
  </si>
  <si>
    <t>std dev</t>
  </si>
  <si>
    <t>All Stocks (2018)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</si>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</sst>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applyAlignment="1">
      <alignment wrapText="1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Time Disparities of Codes</a:t>
            </a:r>
          </a:p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(20 runs on 2018, all formatting included)</a:t>
            </a:r>
          </a:p>
        </cx:rich>
      </cx:tx>
    </cx:title>
    <cx:plotArea>
      <cx:plotAreaRegion>
        <cx:series layoutId="boxWhisker" uniqueId="{9B4A60F4-47F2-44F7-AF08-D49877F43AE2}">
          <cx:tx>
            <cx:txData>
              <cx:f/>
              <cx:v>Refactored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DDC8D18F-74F6-46B0-AF46-0B0989B390CE}">
          <cx:tx>
            <cx:txData>
              <cx:f/>
              <cx:v>Original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0.5"/>
        <cx:tickLabels/>
      </cx:axis>
      <cx:axis id="1">
        <cx:valScaling/>
        <cx:title>
          <cx:tx>
            <cx:txData>
              <cx:v>Seconds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Seconds</a:t>
              </a:r>
            </a:p>
          </cx:txPr>
        </cx:title>
        <cx:majorGridlines/>
        <cx:tickLabels/>
      </cx:axis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2</xdr:row>
          <xdr:rowOff>99060</xdr:rowOff>
        </xdr:from>
        <xdr:to>
          <xdr:col>7</xdr:col>
          <xdr:colOff>251460</xdr:colOff>
          <xdr:row>3</xdr:row>
          <xdr:rowOff>160020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426720</xdr:colOff>
          <xdr:row>5</xdr:row>
          <xdr:rowOff>99060</xdr:rowOff>
        </xdr:from>
        <xdr:to>
          <xdr:col>6</xdr:col>
          <xdr:colOff>335280</xdr:colOff>
          <xdr:row>6</xdr:row>
          <xdr:rowOff>137160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3</xdr:row>
          <xdr:rowOff>137160</xdr:rowOff>
        </xdr:from>
        <xdr:to>
          <xdr:col>7</xdr:col>
          <xdr:colOff>449580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Stock Analysis (2018)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0</xdr:row>
          <xdr:rowOff>76200</xdr:rowOff>
        </xdr:from>
        <xdr:to>
          <xdr:col>7</xdr:col>
          <xdr:colOff>60960</xdr:colOff>
          <xdr:row>2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6</xdr:row>
          <xdr:rowOff>175260</xdr:rowOff>
        </xdr:from>
        <xdr:to>
          <xdr:col>7</xdr:col>
          <xdr:colOff>541020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all stock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2</xdr:row>
          <xdr:rowOff>160020</xdr:rowOff>
        </xdr:from>
        <xdr:to>
          <xdr:col>11</xdr:col>
          <xdr:colOff>30480</xdr:colOff>
          <xdr:row>6</xdr:row>
          <xdr:rowOff>30480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Pick Year - All Stock Analysis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(and format)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11</xdr:row>
          <xdr:rowOff>53340</xdr:rowOff>
        </xdr:from>
        <xdr:to>
          <xdr:col>8</xdr:col>
          <xdr:colOff>228600</xdr:colOff>
          <xdr:row>14</xdr:row>
          <xdr:rowOff>144780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Refactored All Stock Analysis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Pick Year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(and format)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68580</xdr:colOff>
      <xdr:row>18</xdr:row>
      <xdr:rowOff>22860</xdr:rowOff>
    </xdr:from>
    <xdr:to>
      <xdr:col>21</xdr:col>
      <xdr:colOff>7620</xdr:colOff>
      <xdr:row>39</xdr:row>
      <xdr:rowOff>22860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99020" y="3314700"/>
              <a:ext cx="6035040" cy="38404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D16" sqref="D1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3"/>
  <sheetViews>
    <sheetView workbookViewId="0">
      <selection activeCell="F10" sqref="F10"/>
    </sheetView>
  </sheetViews>
  <sheetFormatPr defaultColWidth="8.77734375" defaultRowHeight="14.4" x14ac:dyDescent="0.3"/>
  <cols>
    <col min="2" max="2" width="10.33203125" bestFit="1" customWidth="1"/>
    <col min="11" max="11" width="11.44140625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4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4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4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L4" s="6"/>
      <c r="M4" s="6"/>
      <c r="N4" s="6"/>
    </row>
    <row r="5" spans="1:14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L5" s="6"/>
      <c r="M5" s="6"/>
      <c r="N5" s="6"/>
    </row>
    <row r="6" spans="1:14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4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4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4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4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4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4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4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4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4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4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3369C-C89D-4807-915D-320678145E19}">
  <sheetPr codeName="Sheet3"/>
  <dimension ref="A1:C4"/>
  <sheetViews>
    <sheetView workbookViewId="0">
      <selection activeCell="H11" sqref="H11"/>
    </sheetView>
  </sheetViews>
  <sheetFormatPr defaultRowHeight="14.4" x14ac:dyDescent="0.3"/>
  <cols>
    <col min="1" max="1" width="16.109375" bestFit="1" customWidth="1"/>
    <col min="2" max="2" width="16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>
                  <from>
                    <xdr:col>5</xdr:col>
                    <xdr:colOff>304800</xdr:colOff>
                    <xdr:row>2</xdr:row>
                    <xdr:rowOff>99060</xdr:rowOff>
                  </from>
                  <to>
                    <xdr:col>7</xdr:col>
                    <xdr:colOff>251460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5</xdr:col>
                    <xdr:colOff>426720</xdr:colOff>
                    <xdr:row>5</xdr:row>
                    <xdr:rowOff>99060</xdr:rowOff>
                  </from>
                  <to>
                    <xdr:col>6</xdr:col>
                    <xdr:colOff>335280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4A85A-9396-41C6-B8E7-AB1C7D46F3E6}">
  <sheetPr codeName="Sheet4"/>
  <dimension ref="A1:J39"/>
  <sheetViews>
    <sheetView tabSelected="1" workbookViewId="0">
      <selection activeCell="B18" sqref="B18"/>
    </sheetView>
  </sheetViews>
  <sheetFormatPr defaultRowHeight="14.4" x14ac:dyDescent="0.3"/>
  <cols>
    <col min="2" max="2" width="18" bestFit="1" customWidth="1"/>
  </cols>
  <sheetData>
    <row r="1" spans="1:3" x14ac:dyDescent="0.3">
      <c r="A1" t="s">
        <v>533</v>
      </c>
    </row>
    <row r="3" spans="1:3" x14ac:dyDescent="0.3">
      <c r="A3" s="2" t="s">
        <v>0</v>
      </c>
      <c r="B3" s="2" t="s">
        <v>531</v>
      </c>
      <c r="C3" s="2" t="s">
        <v>525</v>
      </c>
    </row>
    <row r="4" spans="1:3" x14ac:dyDescent="0.3">
      <c r="A4" t="s">
        <v>8</v>
      </c>
      <c r="B4" s="3">
        <v>83079900</v>
      </c>
      <c r="C4" s="4">
        <v>-7.2847634553909302E-2</v>
      </c>
    </row>
    <row r="5" spans="1:3" x14ac:dyDescent="0.3">
      <c r="A5" t="s">
        <v>9</v>
      </c>
      <c r="B5" s="3">
        <v>200879900</v>
      </c>
      <c r="C5" s="4">
        <v>-0.16336052119731903</v>
      </c>
    </row>
    <row r="6" spans="1:3" x14ac:dyDescent="0.3">
      <c r="A6" t="s">
        <v>10</v>
      </c>
      <c r="B6" s="3">
        <v>107873900</v>
      </c>
      <c r="C6" s="4">
        <v>-0.62601888179779053</v>
      </c>
    </row>
    <row r="7" spans="1:3" x14ac:dyDescent="0.3">
      <c r="A7" t="s">
        <v>11</v>
      </c>
      <c r="B7" s="3">
        <v>607473500</v>
      </c>
      <c r="C7" s="5">
        <v>0.81923085451126099</v>
      </c>
    </row>
    <row r="8" spans="1:3" x14ac:dyDescent="0.3">
      <c r="A8" t="s">
        <v>12</v>
      </c>
      <c r="B8" s="3">
        <v>478113900</v>
      </c>
      <c r="C8" s="4">
        <v>-0.39713191986083984</v>
      </c>
    </row>
    <row r="9" spans="1:3" x14ac:dyDescent="0.3">
      <c r="A9" t="s">
        <v>13</v>
      </c>
      <c r="B9" s="3">
        <v>104340600</v>
      </c>
      <c r="C9" s="4">
        <v>-0.20658062398433685</v>
      </c>
    </row>
    <row r="10" spans="1:3" x14ac:dyDescent="0.3">
      <c r="A10" t="s">
        <v>14</v>
      </c>
      <c r="B10" s="3">
        <v>158309000</v>
      </c>
      <c r="C10" s="4">
        <v>-0.6053471565246582</v>
      </c>
    </row>
    <row r="11" spans="1:3" x14ac:dyDescent="0.3">
      <c r="A11" t="s">
        <v>15</v>
      </c>
      <c r="B11" s="3">
        <v>502757100</v>
      </c>
      <c r="C11" s="5">
        <v>0.83952707052230835</v>
      </c>
    </row>
    <row r="12" spans="1:3" x14ac:dyDescent="0.3">
      <c r="A12" t="s">
        <v>16</v>
      </c>
      <c r="B12" s="3">
        <v>237212300</v>
      </c>
      <c r="C12" s="4">
        <v>-7.7529586851596832E-2</v>
      </c>
    </row>
    <row r="13" spans="1:3" x14ac:dyDescent="0.3">
      <c r="A13" t="s">
        <v>17</v>
      </c>
      <c r="B13" s="3">
        <v>538024300</v>
      </c>
      <c r="C13" s="4">
        <v>-0.44593092799186707</v>
      </c>
    </row>
    <row r="14" spans="1:3" x14ac:dyDescent="0.3">
      <c r="A14" t="s">
        <v>18</v>
      </c>
      <c r="B14" s="3">
        <v>151434700</v>
      </c>
      <c r="C14" s="4">
        <v>-4.9957673996686935E-2</v>
      </c>
    </row>
    <row r="15" spans="1:3" x14ac:dyDescent="0.3">
      <c r="A15" t="s">
        <v>19</v>
      </c>
      <c r="B15" s="3">
        <v>136539100</v>
      </c>
      <c r="C15" s="4">
        <v>-3.5443063825368881E-2</v>
      </c>
    </row>
    <row r="17" spans="2:10" x14ac:dyDescent="0.3">
      <c r="B17" s="3"/>
      <c r="C17" s="7"/>
    </row>
    <row r="20" spans="2:10" x14ac:dyDescent="0.3">
      <c r="B20">
        <v>7.03125E-2</v>
      </c>
      <c r="D20" t="s">
        <v>528</v>
      </c>
      <c r="G20">
        <v>0.3046875</v>
      </c>
      <c r="I20" t="s">
        <v>529</v>
      </c>
    </row>
    <row r="21" spans="2:10" x14ac:dyDescent="0.3">
      <c r="B21">
        <v>6.25E-2</v>
      </c>
      <c r="D21" t="s">
        <v>530</v>
      </c>
      <c r="G21">
        <v>0.3203125</v>
      </c>
      <c r="I21" t="s">
        <v>530</v>
      </c>
    </row>
    <row r="22" spans="2:10" x14ac:dyDescent="0.3">
      <c r="B22">
        <v>7.03125E-2</v>
      </c>
      <c r="G22">
        <v>0.34375</v>
      </c>
    </row>
    <row r="23" spans="2:10" x14ac:dyDescent="0.3">
      <c r="B23">
        <v>7.03125E-2</v>
      </c>
      <c r="G23">
        <v>0.3203125</v>
      </c>
    </row>
    <row r="24" spans="2:10" x14ac:dyDescent="0.3">
      <c r="B24">
        <v>7.03125E-2</v>
      </c>
      <c r="G24">
        <v>0.3125</v>
      </c>
    </row>
    <row r="25" spans="2:10" x14ac:dyDescent="0.3">
      <c r="B25">
        <v>7.03125E-2</v>
      </c>
      <c r="G25">
        <v>0.3125</v>
      </c>
    </row>
    <row r="26" spans="2:10" x14ac:dyDescent="0.3">
      <c r="B26">
        <v>7.8125E-2</v>
      </c>
      <c r="G26">
        <v>0.3359375</v>
      </c>
    </row>
    <row r="27" spans="2:10" x14ac:dyDescent="0.3">
      <c r="B27">
        <v>7.8125E-2</v>
      </c>
      <c r="G27">
        <v>0.3046875</v>
      </c>
    </row>
    <row r="28" spans="2:10" x14ac:dyDescent="0.3">
      <c r="B28">
        <v>7.8125E-2</v>
      </c>
      <c r="D28">
        <f>AVERAGE(B20:B39)</f>
        <v>7.1484375000000003E-2</v>
      </c>
      <c r="E28" t="s">
        <v>526</v>
      </c>
      <c r="G28">
        <v>0.3515625</v>
      </c>
      <c r="I28">
        <f>AVERAGE(G20:G39)</f>
        <v>0.31874999999999998</v>
      </c>
      <c r="J28" t="s">
        <v>526</v>
      </c>
    </row>
    <row r="29" spans="2:10" x14ac:dyDescent="0.3">
      <c r="B29">
        <v>7.03125E-2</v>
      </c>
      <c r="D29">
        <f>MEDIAN(B20:B39)</f>
        <v>7.03125E-2</v>
      </c>
      <c r="E29" t="s">
        <v>527</v>
      </c>
      <c r="G29">
        <v>0.3125</v>
      </c>
      <c r="I29">
        <f>MEDIAN(G20:G39)</f>
        <v>0.3125</v>
      </c>
      <c r="J29" t="s">
        <v>527</v>
      </c>
    </row>
    <row r="30" spans="2:10" x14ac:dyDescent="0.3">
      <c r="B30">
        <v>8.59375E-2</v>
      </c>
      <c r="D30">
        <f>_xlfn.STDEV.P(B20:B39)</f>
        <v>7.9191933330911308E-3</v>
      </c>
      <c r="E30" t="s">
        <v>532</v>
      </c>
      <c r="G30">
        <v>0.296875</v>
      </c>
      <c r="I30">
        <f>_xlfn.STDEV.P(G20:G39)</f>
        <v>1.4320549046737002E-2</v>
      </c>
      <c r="J30" t="s">
        <v>532</v>
      </c>
    </row>
    <row r="31" spans="2:10" x14ac:dyDescent="0.3">
      <c r="B31">
        <v>9.375E-2</v>
      </c>
      <c r="G31">
        <v>0.3125</v>
      </c>
    </row>
    <row r="32" spans="2:10" x14ac:dyDescent="0.3">
      <c r="B32">
        <v>7.03125E-2</v>
      </c>
      <c r="G32">
        <v>0.3203125</v>
      </c>
    </row>
    <row r="33" spans="2:10" x14ac:dyDescent="0.3">
      <c r="B33">
        <v>7.03125E-2</v>
      </c>
      <c r="D33">
        <f>SUM(B20:B39)</f>
        <v>1.4296875</v>
      </c>
      <c r="E33" t="s">
        <v>534</v>
      </c>
      <c r="G33">
        <v>0.296875</v>
      </c>
      <c r="I33">
        <f>SUM(G20:G39)</f>
        <v>6.375</v>
      </c>
      <c r="J33" t="s">
        <v>534</v>
      </c>
    </row>
    <row r="34" spans="2:10" x14ac:dyDescent="0.3">
      <c r="B34">
        <v>6.25E-2</v>
      </c>
      <c r="G34">
        <v>0.3125</v>
      </c>
    </row>
    <row r="35" spans="2:10" x14ac:dyDescent="0.3">
      <c r="B35">
        <v>6.25E-2</v>
      </c>
      <c r="G35">
        <v>0.3359375</v>
      </c>
    </row>
    <row r="36" spans="2:10" x14ac:dyDescent="0.3">
      <c r="B36">
        <v>7.03125E-2</v>
      </c>
      <c r="G36">
        <v>0.3125</v>
      </c>
    </row>
    <row r="37" spans="2:10" x14ac:dyDescent="0.3">
      <c r="B37">
        <v>7.03125E-2</v>
      </c>
      <c r="G37">
        <v>0.3125</v>
      </c>
    </row>
    <row r="38" spans="2:10" x14ac:dyDescent="0.3">
      <c r="B38">
        <v>6.25E-2</v>
      </c>
      <c r="G38">
        <v>0.328125</v>
      </c>
    </row>
    <row r="39" spans="2:10" x14ac:dyDescent="0.3">
      <c r="B39">
        <v>6.25E-2</v>
      </c>
      <c r="G39">
        <v>0.328125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Analysis">
                <anchor moveWithCells="1">
                  <from>
                    <xdr:col>5</xdr:col>
                    <xdr:colOff>15240</xdr:colOff>
                    <xdr:row>3</xdr:row>
                    <xdr:rowOff>137160</xdr:rowOff>
                  </from>
                  <to>
                    <xdr:col>7</xdr:col>
                    <xdr:colOff>449580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5</xdr:col>
                    <xdr:colOff>45720</xdr:colOff>
                    <xdr:row>0</xdr:row>
                    <xdr:rowOff>76200</xdr:rowOff>
                  </from>
                  <to>
                    <xdr:col>7</xdr:col>
                    <xdr:colOff>60960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ormatAllStocksAnalysisTable">
                <anchor moveWithCells="1">
                  <from>
                    <xdr:col>5</xdr:col>
                    <xdr:colOff>15240</xdr:colOff>
                    <xdr:row>6</xdr:row>
                    <xdr:rowOff>175260</xdr:rowOff>
                  </from>
                  <to>
                    <xdr:col>7</xdr:col>
                    <xdr:colOff>541020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yearValueAnalysis">
                <anchor moveWithCells="1">
                  <from>
                    <xdr:col>8</xdr:col>
                    <xdr:colOff>45720</xdr:colOff>
                    <xdr:row>2</xdr:row>
                    <xdr:rowOff>160020</xdr:rowOff>
                  </from>
                  <to>
                    <xdr:col>11</xdr:col>
                    <xdr:colOff>30480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190500</xdr:colOff>
                    <xdr:row>11</xdr:row>
                    <xdr:rowOff>53340</xdr:rowOff>
                  </from>
                  <to>
                    <xdr:col>8</xdr:col>
                    <xdr:colOff>228600</xdr:colOff>
                    <xdr:row>14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Klaus</dc:creator>
  <cp:lastModifiedBy>student</cp:lastModifiedBy>
  <dcterms:created xsi:type="dcterms:W3CDTF">2019-05-02T20:23:55Z</dcterms:created>
  <dcterms:modified xsi:type="dcterms:W3CDTF">2022-09-07T08:40:45Z</dcterms:modified>
</cp:coreProperties>
</file>